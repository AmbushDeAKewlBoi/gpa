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lasses" sheetId="2" state="visible" r:id="rId2"/>
    <sheet name="Summary" sheetId="3" state="visible" r:id="rId3"/>
    <sheet name="Scenario" sheetId="4" state="visible" r:id="rId4"/>
    <sheet name="GradeScale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E2E8F0"/>
    </font>
    <font>
      <color rgb="000F172A"/>
    </font>
    <font>
      <b val="1"/>
      <color rgb="00E2E8F0"/>
      <sz val="18"/>
    </font>
    <font>
      <i val="1"/>
      <color rgb="00E2E8F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B3B5B"/>
      </patternFill>
    </fill>
    <fill>
      <patternFill patternType="solid">
        <fgColor rgb="001E293B"/>
      </patternFill>
    </fill>
  </fills>
  <borders count="6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/>
      <right/>
      <top style="thin">
        <color rgb="00334155"/>
      </top>
      <bottom/>
      <diagonal/>
    </border>
    <border>
      <left/>
      <right style="thin">
        <color rgb="00334155"/>
      </right>
      <top style="thin">
        <color rgb="00334155"/>
      </top>
      <bottom/>
      <diagonal/>
    </border>
    <border>
      <left/>
      <right/>
      <top style="thin">
        <color rgb="00334155"/>
      </top>
      <bottom style="thin">
        <color rgb="00334155"/>
      </bottom>
      <diagonal/>
    </border>
    <border>
      <left/>
      <right style="thin">
        <color rgb="00334155"/>
      </right>
      <top style="thin">
        <color rgb="00334155"/>
      </top>
      <bottom style="thin">
        <color rgb="0033415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left"/>
    </xf>
    <xf numFmtId="0" fontId="4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" fillId="4" borderId="1" pivotButton="0" quotePrefix="0" xfId="0"/>
    <xf numFmtId="0" fontId="2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2" borderId="0" pivotButton="0" quotePrefix="0" xfId="0"/>
    <xf numFmtId="164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Grades by Class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'Classes'!E1</f>
            </strRef>
          </tx>
          <spPr>
            <a:ln>
              <a:prstDash val="solid"/>
            </a:ln>
          </spPr>
          <cat>
            <numRef>
              <f>'Classes'!$A$2:$A$31</f>
            </numRef>
          </cat>
          <val>
            <numRef>
              <f>'Classes'!$E$2:$E$31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Numeric Grade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LockIn GPA Calculator</t>
        </is>
      </c>
    </row>
    <row r="3">
      <c r="A3" s="2" t="inlineStr">
        <is>
          <t>1. Enter finished or current classes in the Classes sheet.</t>
        </is>
      </c>
      <c r="B3" s="3" t="n"/>
      <c r="C3" s="3" t="n"/>
      <c r="D3" s="3" t="n"/>
      <c r="E3" s="4" t="n"/>
    </row>
    <row r="4">
      <c r="A4" s="2" t="inlineStr">
        <is>
          <t>2. Use numeric grades if you know them. Letter grades and GPA points fill in automatically.</t>
        </is>
      </c>
      <c r="B4" s="3" t="n"/>
      <c r="C4" s="3" t="n"/>
      <c r="D4" s="3" t="n"/>
      <c r="E4" s="4" t="n"/>
    </row>
    <row r="5">
      <c r="A5" s="2" t="inlineStr">
        <is>
          <t>3. Choose Standard, Honors, AP, or DE in the Level column.</t>
        </is>
      </c>
      <c r="B5" s="3" t="n"/>
      <c r="C5" s="3" t="n"/>
      <c r="D5" s="3" t="n"/>
      <c r="E5" s="4" t="n"/>
    </row>
    <row r="6">
      <c r="A6" s="2" t="inlineStr">
        <is>
          <t>4. Use the Scenario sheet to test future semesters without changing your real classes.</t>
        </is>
      </c>
      <c r="B6" s="3" t="n"/>
      <c r="C6" s="3" t="n"/>
      <c r="D6" s="3" t="n"/>
      <c r="E6" s="4" t="n"/>
    </row>
    <row r="7">
      <c r="A7" s="2" t="inlineStr">
        <is>
          <t>5. Import this workbook into Google Sheets if you want cloud access.</t>
        </is>
      </c>
      <c r="B7" s="3" t="n"/>
      <c r="C7" s="3" t="n"/>
      <c r="D7" s="3" t="n"/>
      <c r="E7" s="4" t="n"/>
    </row>
    <row r="10">
      <c r="A10" s="5" t="inlineStr">
        <is>
          <t>Weighting used in this workbook</t>
        </is>
      </c>
    </row>
    <row r="11">
      <c r="A11" s="6" t="inlineStr">
        <is>
          <t>Standard = +0.0</t>
        </is>
      </c>
    </row>
    <row r="12">
      <c r="A12" s="6" t="inlineStr">
        <is>
          <t>Honors = +0.5</t>
        </is>
      </c>
    </row>
    <row r="13">
      <c r="A13" s="6" t="inlineStr">
        <is>
          <t>AP = +1.0</t>
        </is>
      </c>
    </row>
    <row r="14">
      <c r="A14" s="6" t="inlineStr">
        <is>
          <t>DE = +1.0</t>
        </is>
      </c>
    </row>
  </sheetData>
  <mergeCells count="5">
    <mergeCell ref="A4:E4"/>
    <mergeCell ref="A7:E7"/>
    <mergeCell ref="A5:E5"/>
    <mergeCell ref="A6:E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0" customWidth="1" min="4" max="4"/>
    <col width="14" customWidth="1" min="5" max="5"/>
    <col width="12" customWidth="1" min="6" max="6"/>
    <col width="10" customWidth="1" min="7" max="7"/>
    <col width="13" customWidth="1" min="8" max="8"/>
    <col width="12" customWidth="1" min="9" max="9"/>
    <col width="14" customWidth="1" min="10" max="10"/>
    <col width="14" customWidth="1" min="11" max="11"/>
  </cols>
  <sheetData>
    <row r="1">
      <c r="A1" s="7" t="inlineStr">
        <is>
          <t>Course</t>
        </is>
      </c>
      <c r="B1" s="7" t="inlineStr">
        <is>
          <t>Term</t>
        </is>
      </c>
      <c r="C1" s="7" t="inlineStr">
        <is>
          <t>Level</t>
        </is>
      </c>
      <c r="D1" s="7" t="inlineStr">
        <is>
          <t>Credits</t>
        </is>
      </c>
      <c r="E1" s="7" t="inlineStr">
        <is>
          <t>Numeric Grade</t>
        </is>
      </c>
      <c r="F1" s="7" t="inlineStr">
        <is>
          <t>Letter Grade</t>
        </is>
      </c>
      <c r="G1" s="7" t="inlineStr">
        <is>
          <t>Base Pts</t>
        </is>
      </c>
      <c r="H1" s="7" t="inlineStr">
        <is>
          <t>Weight Bonus</t>
        </is>
      </c>
      <c r="I1" s="7" t="inlineStr">
        <is>
          <t>Weighted Pts</t>
        </is>
      </c>
      <c r="J1" s="7" t="inlineStr">
        <is>
          <t>Unweighted QP</t>
        </is>
      </c>
      <c r="K1" s="7" t="inlineStr">
        <is>
          <t>Weighted QP</t>
        </is>
      </c>
    </row>
    <row r="2">
      <c r="A2" s="6" t="n"/>
      <c r="B2" s="6" t="n"/>
      <c r="C2" s="6" t="n"/>
      <c r="D2" s="6" t="n">
        <v>1</v>
      </c>
      <c r="E2" s="6" t="n"/>
      <c r="F2" s="6">
        <f>IF(E2="","",LOOKUP(E2,GradeScale!$A$2:$A$14,GradeScale!$B$2:$B$14))</f>
        <v/>
      </c>
      <c r="G2" s="6">
        <f>IF(E2="","",LOOKUP(E2,GradeScale!$A$2:$A$14,GradeScale!$C$2:$C$14))</f>
        <v/>
      </c>
      <c r="H2" s="6">
        <f>IF(C2="","",IF(C2="Honors",0.5,IF(OR(C2="AP",C2="DE"),1,0)))</f>
        <v/>
      </c>
      <c r="I2" s="6">
        <f>IF(G2="","",G2+H2)</f>
        <v/>
      </c>
      <c r="J2" s="6">
        <f>IF(OR(G2="",D2=""),"",G2*D2)</f>
        <v/>
      </c>
      <c r="K2" s="6">
        <f>IF(OR(I2="",D2=""),"",I2*D2)</f>
        <v/>
      </c>
    </row>
    <row r="3">
      <c r="A3" s="6" t="n"/>
      <c r="B3" s="6" t="n"/>
      <c r="C3" s="6" t="n"/>
      <c r="D3" s="6" t="n">
        <v>1</v>
      </c>
      <c r="E3" s="6" t="n"/>
      <c r="F3" s="6">
        <f>IF(E3="","",LOOKUP(E3,GradeScale!$A$2:$A$14,GradeScale!$B$2:$B$14))</f>
        <v/>
      </c>
      <c r="G3" s="6">
        <f>IF(E3="","",LOOKUP(E3,GradeScale!$A$2:$A$14,GradeScale!$C$2:$C$14))</f>
        <v/>
      </c>
      <c r="H3" s="6">
        <f>IF(C3="","",IF(C3="Honors",0.5,IF(OR(C3="AP",C3="DE"),1,0)))</f>
        <v/>
      </c>
      <c r="I3" s="6">
        <f>IF(G3="","",G3+H3)</f>
        <v/>
      </c>
      <c r="J3" s="6">
        <f>IF(OR(G3="",D3=""),"",G3*D3)</f>
        <v/>
      </c>
      <c r="K3" s="6">
        <f>IF(OR(I3="",D3=""),"",I3*D3)</f>
        <v/>
      </c>
    </row>
    <row r="4">
      <c r="A4" s="6" t="n"/>
      <c r="B4" s="6" t="n"/>
      <c r="C4" s="6" t="n"/>
      <c r="D4" s="6" t="n">
        <v>1</v>
      </c>
      <c r="E4" s="6" t="n"/>
      <c r="F4" s="6">
        <f>IF(E4="","",LOOKUP(E4,GradeScale!$A$2:$A$14,GradeScale!$B$2:$B$14))</f>
        <v/>
      </c>
      <c r="G4" s="6">
        <f>IF(E4="","",LOOKUP(E4,GradeScale!$A$2:$A$14,GradeScale!$C$2:$C$14))</f>
        <v/>
      </c>
      <c r="H4" s="6">
        <f>IF(C4="","",IF(C4="Honors",0.5,IF(OR(C4="AP",C4="DE"),1,0)))</f>
        <v/>
      </c>
      <c r="I4" s="6">
        <f>IF(G4="","",G4+H4)</f>
        <v/>
      </c>
      <c r="J4" s="6">
        <f>IF(OR(G4="",D4=""),"",G4*D4)</f>
        <v/>
      </c>
      <c r="K4" s="6">
        <f>IF(OR(I4="",D4=""),"",I4*D4)</f>
        <v/>
      </c>
    </row>
    <row r="5">
      <c r="A5" s="6" t="n"/>
      <c r="B5" s="6" t="n"/>
      <c r="C5" s="6" t="n"/>
      <c r="D5" s="6" t="n">
        <v>1</v>
      </c>
      <c r="E5" s="6" t="n"/>
      <c r="F5" s="6">
        <f>IF(E5="","",LOOKUP(E5,GradeScale!$A$2:$A$14,GradeScale!$B$2:$B$14))</f>
        <v/>
      </c>
      <c r="G5" s="6">
        <f>IF(E5="","",LOOKUP(E5,GradeScale!$A$2:$A$14,GradeScale!$C$2:$C$14))</f>
        <v/>
      </c>
      <c r="H5" s="6">
        <f>IF(C5="","",IF(C5="Honors",0.5,IF(OR(C5="AP",C5="DE"),1,0)))</f>
        <v/>
      </c>
      <c r="I5" s="6">
        <f>IF(G5="","",G5+H5)</f>
        <v/>
      </c>
      <c r="J5" s="6">
        <f>IF(OR(G5="",D5=""),"",G5*D5)</f>
        <v/>
      </c>
      <c r="K5" s="6">
        <f>IF(OR(I5="",D5=""),"",I5*D5)</f>
        <v/>
      </c>
    </row>
    <row r="6">
      <c r="A6" s="6" t="n"/>
      <c r="B6" s="6" t="n"/>
      <c r="C6" s="6" t="n"/>
      <c r="D6" s="6" t="n">
        <v>1</v>
      </c>
      <c r="E6" s="6" t="n"/>
      <c r="F6" s="6">
        <f>IF(E6="","",LOOKUP(E6,GradeScale!$A$2:$A$14,GradeScale!$B$2:$B$14))</f>
        <v/>
      </c>
      <c r="G6" s="6">
        <f>IF(E6="","",LOOKUP(E6,GradeScale!$A$2:$A$14,GradeScale!$C$2:$C$14))</f>
        <v/>
      </c>
      <c r="H6" s="6">
        <f>IF(C6="","",IF(C6="Honors",0.5,IF(OR(C6="AP",C6="DE"),1,0)))</f>
        <v/>
      </c>
      <c r="I6" s="6">
        <f>IF(G6="","",G6+H6)</f>
        <v/>
      </c>
      <c r="J6" s="6">
        <f>IF(OR(G6="",D6=""),"",G6*D6)</f>
        <v/>
      </c>
      <c r="K6" s="6">
        <f>IF(OR(I6="",D6=""),"",I6*D6)</f>
        <v/>
      </c>
    </row>
    <row r="7">
      <c r="A7" s="6" t="n"/>
      <c r="B7" s="6" t="n"/>
      <c r="C7" s="6" t="n"/>
      <c r="D7" s="6" t="n">
        <v>1</v>
      </c>
      <c r="E7" s="6" t="n"/>
      <c r="F7" s="6">
        <f>IF(E7="","",LOOKUP(E7,GradeScale!$A$2:$A$14,GradeScale!$B$2:$B$14))</f>
        <v/>
      </c>
      <c r="G7" s="6">
        <f>IF(E7="","",LOOKUP(E7,GradeScale!$A$2:$A$14,GradeScale!$C$2:$C$14))</f>
        <v/>
      </c>
      <c r="H7" s="6">
        <f>IF(C7="","",IF(C7="Honors",0.5,IF(OR(C7="AP",C7="DE"),1,0)))</f>
        <v/>
      </c>
      <c r="I7" s="6">
        <f>IF(G7="","",G7+H7)</f>
        <v/>
      </c>
      <c r="J7" s="6">
        <f>IF(OR(G7="",D7=""),"",G7*D7)</f>
        <v/>
      </c>
      <c r="K7" s="6">
        <f>IF(OR(I7="",D7=""),"",I7*D7)</f>
        <v/>
      </c>
    </row>
    <row r="8">
      <c r="A8" s="6" t="n"/>
      <c r="B8" s="6" t="n"/>
      <c r="C8" s="6" t="n"/>
      <c r="D8" s="6" t="n">
        <v>1</v>
      </c>
      <c r="E8" s="6" t="n"/>
      <c r="F8" s="6">
        <f>IF(E8="","",LOOKUP(E8,GradeScale!$A$2:$A$14,GradeScale!$B$2:$B$14))</f>
        <v/>
      </c>
      <c r="G8" s="6">
        <f>IF(E8="","",LOOKUP(E8,GradeScale!$A$2:$A$14,GradeScale!$C$2:$C$14))</f>
        <v/>
      </c>
      <c r="H8" s="6">
        <f>IF(C8="","",IF(C8="Honors",0.5,IF(OR(C8="AP",C8="DE"),1,0)))</f>
        <v/>
      </c>
      <c r="I8" s="6">
        <f>IF(G8="","",G8+H8)</f>
        <v/>
      </c>
      <c r="J8" s="6">
        <f>IF(OR(G8="",D8=""),"",G8*D8)</f>
        <v/>
      </c>
      <c r="K8" s="6">
        <f>IF(OR(I8="",D8=""),"",I8*D8)</f>
        <v/>
      </c>
    </row>
    <row r="9">
      <c r="A9" s="6" t="n"/>
      <c r="B9" s="6" t="n"/>
      <c r="C9" s="6" t="n"/>
      <c r="D9" s="6" t="n">
        <v>1</v>
      </c>
      <c r="E9" s="6" t="n"/>
      <c r="F9" s="6">
        <f>IF(E9="","",LOOKUP(E9,GradeScale!$A$2:$A$14,GradeScale!$B$2:$B$14))</f>
        <v/>
      </c>
      <c r="G9" s="6">
        <f>IF(E9="","",LOOKUP(E9,GradeScale!$A$2:$A$14,GradeScale!$C$2:$C$14))</f>
        <v/>
      </c>
      <c r="H9" s="6">
        <f>IF(C9="","",IF(C9="Honors",0.5,IF(OR(C9="AP",C9="DE"),1,0)))</f>
        <v/>
      </c>
      <c r="I9" s="6">
        <f>IF(G9="","",G9+H9)</f>
        <v/>
      </c>
      <c r="J9" s="6">
        <f>IF(OR(G9="",D9=""),"",G9*D9)</f>
        <v/>
      </c>
      <c r="K9" s="6">
        <f>IF(OR(I9="",D9=""),"",I9*D9)</f>
        <v/>
      </c>
    </row>
    <row r="10">
      <c r="A10" s="6" t="n"/>
      <c r="B10" s="6" t="n"/>
      <c r="C10" s="6" t="n"/>
      <c r="D10" s="6" t="n">
        <v>1</v>
      </c>
      <c r="E10" s="6" t="n"/>
      <c r="F10" s="6">
        <f>IF(E10="","",LOOKUP(E10,GradeScale!$A$2:$A$14,GradeScale!$B$2:$B$14))</f>
        <v/>
      </c>
      <c r="G10" s="6">
        <f>IF(E10="","",LOOKUP(E10,GradeScale!$A$2:$A$14,GradeScale!$C$2:$C$14))</f>
        <v/>
      </c>
      <c r="H10" s="6">
        <f>IF(C10="","",IF(C10="Honors",0.5,IF(OR(C10="AP",C10="DE"),1,0)))</f>
        <v/>
      </c>
      <c r="I10" s="6">
        <f>IF(G10="","",G10+H10)</f>
        <v/>
      </c>
      <c r="J10" s="6">
        <f>IF(OR(G10="",D10=""),"",G10*D10)</f>
        <v/>
      </c>
      <c r="K10" s="6">
        <f>IF(OR(I10="",D10=""),"",I10*D10)</f>
        <v/>
      </c>
    </row>
    <row r="11">
      <c r="A11" s="6" t="n"/>
      <c r="B11" s="6" t="n"/>
      <c r="C11" s="6" t="n"/>
      <c r="D11" s="6" t="n">
        <v>1</v>
      </c>
      <c r="E11" s="6" t="n"/>
      <c r="F11" s="6">
        <f>IF(E11="","",LOOKUP(E11,GradeScale!$A$2:$A$14,GradeScale!$B$2:$B$14))</f>
        <v/>
      </c>
      <c r="G11" s="6">
        <f>IF(E11="","",LOOKUP(E11,GradeScale!$A$2:$A$14,GradeScale!$C$2:$C$14))</f>
        <v/>
      </c>
      <c r="H11" s="6">
        <f>IF(C11="","",IF(C11="Honors",0.5,IF(OR(C11="AP",C11="DE"),1,0)))</f>
        <v/>
      </c>
      <c r="I11" s="6">
        <f>IF(G11="","",G11+H11)</f>
        <v/>
      </c>
      <c r="J11" s="6">
        <f>IF(OR(G11="",D11=""),"",G11*D11)</f>
        <v/>
      </c>
      <c r="K11" s="6">
        <f>IF(OR(I11="",D11=""),"",I11*D11)</f>
        <v/>
      </c>
    </row>
    <row r="12">
      <c r="A12" s="6" t="n"/>
      <c r="B12" s="6" t="n"/>
      <c r="C12" s="6" t="n"/>
      <c r="D12" s="6" t="n">
        <v>1</v>
      </c>
      <c r="E12" s="6" t="n"/>
      <c r="F12" s="6">
        <f>IF(E12="","",LOOKUP(E12,GradeScale!$A$2:$A$14,GradeScale!$B$2:$B$14))</f>
        <v/>
      </c>
      <c r="G12" s="6">
        <f>IF(E12="","",LOOKUP(E12,GradeScale!$A$2:$A$14,GradeScale!$C$2:$C$14))</f>
        <v/>
      </c>
      <c r="H12" s="6">
        <f>IF(C12="","",IF(C12="Honors",0.5,IF(OR(C12="AP",C12="DE"),1,0)))</f>
        <v/>
      </c>
      <c r="I12" s="6">
        <f>IF(G12="","",G12+H12)</f>
        <v/>
      </c>
      <c r="J12" s="6">
        <f>IF(OR(G12="",D12=""),"",G12*D12)</f>
        <v/>
      </c>
      <c r="K12" s="6">
        <f>IF(OR(I12="",D12=""),"",I12*D12)</f>
        <v/>
      </c>
    </row>
    <row r="13">
      <c r="A13" s="6" t="n"/>
      <c r="B13" s="6" t="n"/>
      <c r="C13" s="6" t="n"/>
      <c r="D13" s="6" t="n">
        <v>1</v>
      </c>
      <c r="E13" s="6" t="n"/>
      <c r="F13" s="6">
        <f>IF(E13="","",LOOKUP(E13,GradeScale!$A$2:$A$14,GradeScale!$B$2:$B$14))</f>
        <v/>
      </c>
      <c r="G13" s="6">
        <f>IF(E13="","",LOOKUP(E13,GradeScale!$A$2:$A$14,GradeScale!$C$2:$C$14))</f>
        <v/>
      </c>
      <c r="H13" s="6">
        <f>IF(C13="","",IF(C13="Honors",0.5,IF(OR(C13="AP",C13="DE"),1,0)))</f>
        <v/>
      </c>
      <c r="I13" s="6">
        <f>IF(G13="","",G13+H13)</f>
        <v/>
      </c>
      <c r="J13" s="6">
        <f>IF(OR(G13="",D13=""),"",G13*D13)</f>
        <v/>
      </c>
      <c r="K13" s="6">
        <f>IF(OR(I13="",D13=""),"",I13*D13)</f>
        <v/>
      </c>
    </row>
    <row r="14">
      <c r="A14" s="6" t="n"/>
      <c r="B14" s="6" t="n"/>
      <c r="C14" s="6" t="n"/>
      <c r="D14" s="6" t="n">
        <v>1</v>
      </c>
      <c r="E14" s="6" t="n"/>
      <c r="F14" s="6">
        <f>IF(E14="","",LOOKUP(E14,GradeScale!$A$2:$A$14,GradeScale!$B$2:$B$14))</f>
        <v/>
      </c>
      <c r="G14" s="6">
        <f>IF(E14="","",LOOKUP(E14,GradeScale!$A$2:$A$14,GradeScale!$C$2:$C$14))</f>
        <v/>
      </c>
      <c r="H14" s="6">
        <f>IF(C14="","",IF(C14="Honors",0.5,IF(OR(C14="AP",C14="DE"),1,0)))</f>
        <v/>
      </c>
      <c r="I14" s="6">
        <f>IF(G14="","",G14+H14)</f>
        <v/>
      </c>
      <c r="J14" s="6">
        <f>IF(OR(G14="",D14=""),"",G14*D14)</f>
        <v/>
      </c>
      <c r="K14" s="6">
        <f>IF(OR(I14="",D14=""),"",I14*D14)</f>
        <v/>
      </c>
    </row>
    <row r="15">
      <c r="A15" s="6" t="n"/>
      <c r="B15" s="6" t="n"/>
      <c r="C15" s="6" t="n"/>
      <c r="D15" s="6" t="n">
        <v>1</v>
      </c>
      <c r="E15" s="6" t="n"/>
      <c r="F15" s="6">
        <f>IF(E15="","",LOOKUP(E15,GradeScale!$A$2:$A$14,GradeScale!$B$2:$B$14))</f>
        <v/>
      </c>
      <c r="G15" s="6">
        <f>IF(E15="","",LOOKUP(E15,GradeScale!$A$2:$A$14,GradeScale!$C$2:$C$14))</f>
        <v/>
      </c>
      <c r="H15" s="6">
        <f>IF(C15="","",IF(C15="Honors",0.5,IF(OR(C15="AP",C15="DE"),1,0)))</f>
        <v/>
      </c>
      <c r="I15" s="6">
        <f>IF(G15="","",G15+H15)</f>
        <v/>
      </c>
      <c r="J15" s="6">
        <f>IF(OR(G15="",D15=""),"",G15*D15)</f>
        <v/>
      </c>
      <c r="K15" s="6">
        <f>IF(OR(I15="",D15=""),"",I15*D15)</f>
        <v/>
      </c>
    </row>
    <row r="16">
      <c r="A16" s="6" t="n"/>
      <c r="B16" s="6" t="n"/>
      <c r="C16" s="6" t="n"/>
      <c r="D16" s="6" t="n">
        <v>1</v>
      </c>
      <c r="E16" s="6" t="n"/>
      <c r="F16" s="6">
        <f>IF(E16="","",LOOKUP(E16,GradeScale!$A$2:$A$14,GradeScale!$B$2:$B$14))</f>
        <v/>
      </c>
      <c r="G16" s="6">
        <f>IF(E16="","",LOOKUP(E16,GradeScale!$A$2:$A$14,GradeScale!$C$2:$C$14))</f>
        <v/>
      </c>
      <c r="H16" s="6">
        <f>IF(C16="","",IF(C16="Honors",0.5,IF(OR(C16="AP",C16="DE"),1,0)))</f>
        <v/>
      </c>
      <c r="I16" s="6">
        <f>IF(G16="","",G16+H16)</f>
        <v/>
      </c>
      <c r="J16" s="6">
        <f>IF(OR(G16="",D16=""),"",G16*D16)</f>
        <v/>
      </c>
      <c r="K16" s="6">
        <f>IF(OR(I16="",D16=""),"",I16*D16)</f>
        <v/>
      </c>
    </row>
    <row r="17">
      <c r="A17" s="6" t="n"/>
      <c r="B17" s="6" t="n"/>
      <c r="C17" s="6" t="n"/>
      <c r="D17" s="6" t="n">
        <v>1</v>
      </c>
      <c r="E17" s="6" t="n"/>
      <c r="F17" s="6">
        <f>IF(E17="","",LOOKUP(E17,GradeScale!$A$2:$A$14,GradeScale!$B$2:$B$14))</f>
        <v/>
      </c>
      <c r="G17" s="6">
        <f>IF(E17="","",LOOKUP(E17,GradeScale!$A$2:$A$14,GradeScale!$C$2:$C$14))</f>
        <v/>
      </c>
      <c r="H17" s="6">
        <f>IF(C17="","",IF(C17="Honors",0.5,IF(OR(C17="AP",C17="DE"),1,0)))</f>
        <v/>
      </c>
      <c r="I17" s="6">
        <f>IF(G17="","",G17+H17)</f>
        <v/>
      </c>
      <c r="J17" s="6">
        <f>IF(OR(G17="",D17=""),"",G17*D17)</f>
        <v/>
      </c>
      <c r="K17" s="6">
        <f>IF(OR(I17="",D17=""),"",I17*D17)</f>
        <v/>
      </c>
    </row>
    <row r="18">
      <c r="A18" s="6" t="n"/>
      <c r="B18" s="6" t="n"/>
      <c r="C18" s="6" t="n"/>
      <c r="D18" s="6" t="n">
        <v>1</v>
      </c>
      <c r="E18" s="6" t="n"/>
      <c r="F18" s="6">
        <f>IF(E18="","",LOOKUP(E18,GradeScale!$A$2:$A$14,GradeScale!$B$2:$B$14))</f>
        <v/>
      </c>
      <c r="G18" s="6">
        <f>IF(E18="","",LOOKUP(E18,GradeScale!$A$2:$A$14,GradeScale!$C$2:$C$14))</f>
        <v/>
      </c>
      <c r="H18" s="6">
        <f>IF(C18="","",IF(C18="Honors",0.5,IF(OR(C18="AP",C18="DE"),1,0)))</f>
        <v/>
      </c>
      <c r="I18" s="6">
        <f>IF(G18="","",G18+H18)</f>
        <v/>
      </c>
      <c r="J18" s="6">
        <f>IF(OR(G18="",D18=""),"",G18*D18)</f>
        <v/>
      </c>
      <c r="K18" s="6">
        <f>IF(OR(I18="",D18=""),"",I18*D18)</f>
        <v/>
      </c>
    </row>
    <row r="19">
      <c r="A19" s="6" t="n"/>
      <c r="B19" s="6" t="n"/>
      <c r="C19" s="6" t="n"/>
      <c r="D19" s="6" t="n">
        <v>1</v>
      </c>
      <c r="E19" s="6" t="n"/>
      <c r="F19" s="6">
        <f>IF(E19="","",LOOKUP(E19,GradeScale!$A$2:$A$14,GradeScale!$B$2:$B$14))</f>
        <v/>
      </c>
      <c r="G19" s="6">
        <f>IF(E19="","",LOOKUP(E19,GradeScale!$A$2:$A$14,GradeScale!$C$2:$C$14))</f>
        <v/>
      </c>
      <c r="H19" s="6">
        <f>IF(C19="","",IF(C19="Honors",0.5,IF(OR(C19="AP",C19="DE"),1,0)))</f>
        <v/>
      </c>
      <c r="I19" s="6">
        <f>IF(G19="","",G19+H19)</f>
        <v/>
      </c>
      <c r="J19" s="6">
        <f>IF(OR(G19="",D19=""),"",G19*D19)</f>
        <v/>
      </c>
      <c r="K19" s="6">
        <f>IF(OR(I19="",D19=""),"",I19*D19)</f>
        <v/>
      </c>
    </row>
    <row r="20">
      <c r="A20" s="6" t="n"/>
      <c r="B20" s="6" t="n"/>
      <c r="C20" s="6" t="n"/>
      <c r="D20" s="6" t="n">
        <v>1</v>
      </c>
      <c r="E20" s="6" t="n"/>
      <c r="F20" s="6">
        <f>IF(E20="","",LOOKUP(E20,GradeScale!$A$2:$A$14,GradeScale!$B$2:$B$14))</f>
        <v/>
      </c>
      <c r="G20" s="6">
        <f>IF(E20="","",LOOKUP(E20,GradeScale!$A$2:$A$14,GradeScale!$C$2:$C$14))</f>
        <v/>
      </c>
      <c r="H20" s="6">
        <f>IF(C20="","",IF(C20="Honors",0.5,IF(OR(C20="AP",C20="DE"),1,0)))</f>
        <v/>
      </c>
      <c r="I20" s="6">
        <f>IF(G20="","",G20+H20)</f>
        <v/>
      </c>
      <c r="J20" s="6">
        <f>IF(OR(G20="",D20=""),"",G20*D20)</f>
        <v/>
      </c>
      <c r="K20" s="6">
        <f>IF(OR(I20="",D20=""),"",I20*D20)</f>
        <v/>
      </c>
    </row>
    <row r="21">
      <c r="A21" s="6" t="n"/>
      <c r="B21" s="6" t="n"/>
      <c r="C21" s="6" t="n"/>
      <c r="D21" s="6" t="n">
        <v>1</v>
      </c>
      <c r="E21" s="6" t="n"/>
      <c r="F21" s="6">
        <f>IF(E21="","",LOOKUP(E21,GradeScale!$A$2:$A$14,GradeScale!$B$2:$B$14))</f>
        <v/>
      </c>
      <c r="G21" s="6">
        <f>IF(E21="","",LOOKUP(E21,GradeScale!$A$2:$A$14,GradeScale!$C$2:$C$14))</f>
        <v/>
      </c>
      <c r="H21" s="6">
        <f>IF(C21="","",IF(C21="Honors",0.5,IF(OR(C21="AP",C21="DE"),1,0)))</f>
        <v/>
      </c>
      <c r="I21" s="6">
        <f>IF(G21="","",G21+H21)</f>
        <v/>
      </c>
      <c r="J21" s="6">
        <f>IF(OR(G21="",D21=""),"",G21*D21)</f>
        <v/>
      </c>
      <c r="K21" s="6">
        <f>IF(OR(I21="",D21=""),"",I21*D21)</f>
        <v/>
      </c>
    </row>
    <row r="22">
      <c r="A22" s="6" t="n"/>
      <c r="B22" s="6" t="n"/>
      <c r="C22" s="6" t="n"/>
      <c r="D22" s="6" t="n">
        <v>1</v>
      </c>
      <c r="E22" s="6" t="n"/>
      <c r="F22" s="6">
        <f>IF(E22="","",LOOKUP(E22,GradeScale!$A$2:$A$14,GradeScale!$B$2:$B$14))</f>
        <v/>
      </c>
      <c r="G22" s="6">
        <f>IF(E22="","",LOOKUP(E22,GradeScale!$A$2:$A$14,GradeScale!$C$2:$C$14))</f>
        <v/>
      </c>
      <c r="H22" s="6">
        <f>IF(C22="","",IF(C22="Honors",0.5,IF(OR(C22="AP",C22="DE"),1,0)))</f>
        <v/>
      </c>
      <c r="I22" s="6">
        <f>IF(G22="","",G22+H22)</f>
        <v/>
      </c>
      <c r="J22" s="6">
        <f>IF(OR(G22="",D22=""),"",G22*D22)</f>
        <v/>
      </c>
      <c r="K22" s="6">
        <f>IF(OR(I22="",D22=""),"",I22*D22)</f>
        <v/>
      </c>
    </row>
    <row r="23">
      <c r="A23" s="6" t="n"/>
      <c r="B23" s="6" t="n"/>
      <c r="C23" s="6" t="n"/>
      <c r="D23" s="6" t="n">
        <v>1</v>
      </c>
      <c r="E23" s="6" t="n"/>
      <c r="F23" s="6">
        <f>IF(E23="","",LOOKUP(E23,GradeScale!$A$2:$A$14,GradeScale!$B$2:$B$14))</f>
        <v/>
      </c>
      <c r="G23" s="6">
        <f>IF(E23="","",LOOKUP(E23,GradeScale!$A$2:$A$14,GradeScale!$C$2:$C$14))</f>
        <v/>
      </c>
      <c r="H23" s="6">
        <f>IF(C23="","",IF(C23="Honors",0.5,IF(OR(C23="AP",C23="DE"),1,0)))</f>
        <v/>
      </c>
      <c r="I23" s="6">
        <f>IF(G23="","",G23+H23)</f>
        <v/>
      </c>
      <c r="J23" s="6">
        <f>IF(OR(G23="",D23=""),"",G23*D23)</f>
        <v/>
      </c>
      <c r="K23" s="6">
        <f>IF(OR(I23="",D23=""),"",I23*D23)</f>
        <v/>
      </c>
    </row>
    <row r="24">
      <c r="A24" s="6" t="n"/>
      <c r="B24" s="6" t="n"/>
      <c r="C24" s="6" t="n"/>
      <c r="D24" s="6" t="n">
        <v>1</v>
      </c>
      <c r="E24" s="6" t="n"/>
      <c r="F24" s="6">
        <f>IF(E24="","",LOOKUP(E24,GradeScale!$A$2:$A$14,GradeScale!$B$2:$B$14))</f>
        <v/>
      </c>
      <c r="G24" s="6">
        <f>IF(E24="","",LOOKUP(E24,GradeScale!$A$2:$A$14,GradeScale!$C$2:$C$14))</f>
        <v/>
      </c>
      <c r="H24" s="6">
        <f>IF(C24="","",IF(C24="Honors",0.5,IF(OR(C24="AP",C24="DE"),1,0)))</f>
        <v/>
      </c>
      <c r="I24" s="6">
        <f>IF(G24="","",G24+H24)</f>
        <v/>
      </c>
      <c r="J24" s="6">
        <f>IF(OR(G24="",D24=""),"",G24*D24)</f>
        <v/>
      </c>
      <c r="K24" s="6">
        <f>IF(OR(I24="",D24=""),"",I24*D24)</f>
        <v/>
      </c>
    </row>
    <row r="25">
      <c r="A25" s="6" t="n"/>
      <c r="B25" s="6" t="n"/>
      <c r="C25" s="6" t="n"/>
      <c r="D25" s="6" t="n">
        <v>1</v>
      </c>
      <c r="E25" s="6" t="n"/>
      <c r="F25" s="6">
        <f>IF(E25="","",LOOKUP(E25,GradeScale!$A$2:$A$14,GradeScale!$B$2:$B$14))</f>
        <v/>
      </c>
      <c r="G25" s="6">
        <f>IF(E25="","",LOOKUP(E25,GradeScale!$A$2:$A$14,GradeScale!$C$2:$C$14))</f>
        <v/>
      </c>
      <c r="H25" s="6">
        <f>IF(C25="","",IF(C25="Honors",0.5,IF(OR(C25="AP",C25="DE"),1,0)))</f>
        <v/>
      </c>
      <c r="I25" s="6">
        <f>IF(G25="","",G25+H25)</f>
        <v/>
      </c>
      <c r="J25" s="6">
        <f>IF(OR(G25="",D25=""),"",G25*D25)</f>
        <v/>
      </c>
      <c r="K25" s="6">
        <f>IF(OR(I25="",D25=""),"",I25*D25)</f>
        <v/>
      </c>
    </row>
    <row r="26">
      <c r="A26" s="6" t="n"/>
      <c r="B26" s="6" t="n"/>
      <c r="C26" s="6" t="n"/>
      <c r="D26" s="6" t="n">
        <v>1</v>
      </c>
      <c r="E26" s="6" t="n"/>
      <c r="F26" s="6">
        <f>IF(E26="","",LOOKUP(E26,GradeScale!$A$2:$A$14,GradeScale!$B$2:$B$14))</f>
        <v/>
      </c>
      <c r="G26" s="6">
        <f>IF(E26="","",LOOKUP(E26,GradeScale!$A$2:$A$14,GradeScale!$C$2:$C$14))</f>
        <v/>
      </c>
      <c r="H26" s="6">
        <f>IF(C26="","",IF(C26="Honors",0.5,IF(OR(C26="AP",C26="DE"),1,0)))</f>
        <v/>
      </c>
      <c r="I26" s="6">
        <f>IF(G26="","",G26+H26)</f>
        <v/>
      </c>
      <c r="J26" s="6">
        <f>IF(OR(G26="",D26=""),"",G26*D26)</f>
        <v/>
      </c>
      <c r="K26" s="6">
        <f>IF(OR(I26="",D26=""),"",I26*D26)</f>
        <v/>
      </c>
    </row>
    <row r="27">
      <c r="A27" s="6" t="n"/>
      <c r="B27" s="6" t="n"/>
      <c r="C27" s="6" t="n"/>
      <c r="D27" s="6" t="n">
        <v>1</v>
      </c>
      <c r="E27" s="6" t="n"/>
      <c r="F27" s="6">
        <f>IF(E27="","",LOOKUP(E27,GradeScale!$A$2:$A$14,GradeScale!$B$2:$B$14))</f>
        <v/>
      </c>
      <c r="G27" s="6">
        <f>IF(E27="","",LOOKUP(E27,GradeScale!$A$2:$A$14,GradeScale!$C$2:$C$14))</f>
        <v/>
      </c>
      <c r="H27" s="6">
        <f>IF(C27="","",IF(C27="Honors",0.5,IF(OR(C27="AP",C27="DE"),1,0)))</f>
        <v/>
      </c>
      <c r="I27" s="6">
        <f>IF(G27="","",G27+H27)</f>
        <v/>
      </c>
      <c r="J27" s="6">
        <f>IF(OR(G27="",D27=""),"",G27*D27)</f>
        <v/>
      </c>
      <c r="K27" s="6">
        <f>IF(OR(I27="",D27=""),"",I27*D27)</f>
        <v/>
      </c>
    </row>
    <row r="28">
      <c r="A28" s="6" t="n"/>
      <c r="B28" s="6" t="n"/>
      <c r="C28" s="6" t="n"/>
      <c r="D28" s="6" t="n">
        <v>1</v>
      </c>
      <c r="E28" s="6" t="n"/>
      <c r="F28" s="6">
        <f>IF(E28="","",LOOKUP(E28,GradeScale!$A$2:$A$14,GradeScale!$B$2:$B$14))</f>
        <v/>
      </c>
      <c r="G28" s="6">
        <f>IF(E28="","",LOOKUP(E28,GradeScale!$A$2:$A$14,GradeScale!$C$2:$C$14))</f>
        <v/>
      </c>
      <c r="H28" s="6">
        <f>IF(C28="","",IF(C28="Honors",0.5,IF(OR(C28="AP",C28="DE"),1,0)))</f>
        <v/>
      </c>
      <c r="I28" s="6">
        <f>IF(G28="","",G28+H28)</f>
        <v/>
      </c>
      <c r="J28" s="6">
        <f>IF(OR(G28="",D28=""),"",G28*D28)</f>
        <v/>
      </c>
      <c r="K28" s="6">
        <f>IF(OR(I28="",D28=""),"",I28*D28)</f>
        <v/>
      </c>
    </row>
    <row r="29">
      <c r="A29" s="6" t="n"/>
      <c r="B29" s="6" t="n"/>
      <c r="C29" s="6" t="n"/>
      <c r="D29" s="6" t="n">
        <v>1</v>
      </c>
      <c r="E29" s="6" t="n"/>
      <c r="F29" s="6">
        <f>IF(E29="","",LOOKUP(E29,GradeScale!$A$2:$A$14,GradeScale!$B$2:$B$14))</f>
        <v/>
      </c>
      <c r="G29" s="6">
        <f>IF(E29="","",LOOKUP(E29,GradeScale!$A$2:$A$14,GradeScale!$C$2:$C$14))</f>
        <v/>
      </c>
      <c r="H29" s="6">
        <f>IF(C29="","",IF(C29="Honors",0.5,IF(OR(C29="AP",C29="DE"),1,0)))</f>
        <v/>
      </c>
      <c r="I29" s="6">
        <f>IF(G29="","",G29+H29)</f>
        <v/>
      </c>
      <c r="J29" s="6">
        <f>IF(OR(G29="",D29=""),"",G29*D29)</f>
        <v/>
      </c>
      <c r="K29" s="6">
        <f>IF(OR(I29="",D29=""),"",I29*D29)</f>
        <v/>
      </c>
    </row>
    <row r="30">
      <c r="A30" s="6" t="n"/>
      <c r="B30" s="6" t="n"/>
      <c r="C30" s="6" t="n"/>
      <c r="D30" s="6" t="n">
        <v>1</v>
      </c>
      <c r="E30" s="6" t="n"/>
      <c r="F30" s="6">
        <f>IF(E30="","",LOOKUP(E30,GradeScale!$A$2:$A$14,GradeScale!$B$2:$B$14))</f>
        <v/>
      </c>
      <c r="G30" s="6">
        <f>IF(E30="","",LOOKUP(E30,GradeScale!$A$2:$A$14,GradeScale!$C$2:$C$14))</f>
        <v/>
      </c>
      <c r="H30" s="6">
        <f>IF(C30="","",IF(C30="Honors",0.5,IF(OR(C30="AP",C30="DE"),1,0)))</f>
        <v/>
      </c>
      <c r="I30" s="6">
        <f>IF(G30="","",G30+H30)</f>
        <v/>
      </c>
      <c r="J30" s="6">
        <f>IF(OR(G30="",D30=""),"",G30*D30)</f>
        <v/>
      </c>
      <c r="K30" s="6">
        <f>IF(OR(I30="",D30=""),"",I30*D30)</f>
        <v/>
      </c>
    </row>
    <row r="31">
      <c r="A31" s="6" t="n"/>
      <c r="B31" s="6" t="n"/>
      <c r="C31" s="6" t="n"/>
      <c r="D31" s="6" t="n">
        <v>1</v>
      </c>
      <c r="E31" s="6" t="n"/>
      <c r="F31" s="6">
        <f>IF(E31="","",LOOKUP(E31,GradeScale!$A$2:$A$14,GradeScale!$B$2:$B$14))</f>
        <v/>
      </c>
      <c r="G31" s="6">
        <f>IF(E31="","",LOOKUP(E31,GradeScale!$A$2:$A$14,GradeScale!$C$2:$C$14))</f>
        <v/>
      </c>
      <c r="H31" s="6">
        <f>IF(C31="","",IF(C31="Honors",0.5,IF(OR(C31="AP",C31="DE"),1,0)))</f>
        <v/>
      </c>
      <c r="I31" s="6">
        <f>IF(G31="","",G31+H31)</f>
        <v/>
      </c>
      <c r="J31" s="6">
        <f>IF(OR(G31="",D31=""),"",G31*D31)</f>
        <v/>
      </c>
      <c r="K31" s="6">
        <f>IF(OR(I31="",D31=""),"",I31*D31)</f>
        <v/>
      </c>
    </row>
  </sheetData>
  <conditionalFormatting sqref="E2:E31">
    <cfRule type="colorScale" priority="1">
      <colorScale>
        <cfvo type="num" val="60"/>
        <cfvo type="num" val="80"/>
        <cfvo type="num" val="100"/>
        <color rgb="00F87171"/>
        <color rgb="00FACC15"/>
        <color rgb="004ADE80"/>
      </colorScale>
    </cfRule>
  </conditionalFormatting>
  <dataValidations count="2">
    <dataValidation sqref="C2:C31" showDropDown="0" showInputMessage="0" showErrorMessage="0" allowBlank="1" type="list">
      <formula1>"Standard,Honors,AP,DE"</formula1>
    </dataValidation>
    <dataValidation sqref="B2:B31" showDropDown="0" showInputMessage="0" showErrorMessage="0" allowBlank="1" type="list">
      <formula1>"Semester 1,Semester 2,Full Year,Summer,Planned"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18" customWidth="1" min="5" max="5"/>
    <col width="16" customWidth="1" min="7" max="7"/>
  </cols>
  <sheetData>
    <row r="1">
      <c r="A1" s="8" t="inlineStr">
        <is>
          <t>GPA Snapshot</t>
        </is>
      </c>
    </row>
    <row r="3">
      <c r="A3" s="5" t="inlineStr">
        <is>
          <t>Current Classes</t>
        </is>
      </c>
      <c r="D3" s="5" t="inlineStr">
        <is>
          <t>Scenario Projection</t>
        </is>
      </c>
    </row>
    <row r="4">
      <c r="A4" s="6" t="inlineStr">
        <is>
          <t>Total Credits</t>
        </is>
      </c>
      <c r="B4" s="9">
        <f>SUM(Classes!D2:D31)</f>
        <v/>
      </c>
      <c r="D4" s="6" t="inlineStr">
        <is>
          <t>Added Credits</t>
        </is>
      </c>
      <c r="E4" s="9">
        <f>SUM(Scenario!D2:D31)</f>
        <v/>
      </c>
    </row>
    <row r="5">
      <c r="A5" s="6" t="inlineStr">
        <is>
          <t>Unweighted GPA</t>
        </is>
      </c>
      <c r="B5" s="10">
        <f>IFERROR(SUM(Classes!J2:J31)/B4,0)</f>
        <v/>
      </c>
      <c r="D5" s="6" t="inlineStr">
        <is>
          <t>Projected Unweighted GPA</t>
        </is>
      </c>
      <c r="E5" s="10">
        <f>IFERROR((SUM(Classes!J2:J31)+SUM(Scenario!J2:J31))/(B4+E4),0)</f>
        <v/>
      </c>
    </row>
    <row r="6">
      <c r="A6" s="6" t="inlineStr">
        <is>
          <t>Weighted GPA</t>
        </is>
      </c>
      <c r="B6" s="10">
        <f>IFERROR(SUM(Classes!K2:K31)/B4,0)</f>
        <v/>
      </c>
      <c r="D6" s="6" t="inlineStr">
        <is>
          <t>Projected Weighted GPA</t>
        </is>
      </c>
      <c r="E6" s="10">
        <f>IFERROR((SUM(Classes!K2:K31)+SUM(Scenario!K2:K31))/(B4+E4),0)</f>
        <v/>
      </c>
    </row>
    <row r="7">
      <c r="A7" s="6" t="inlineStr">
        <is>
          <t>Class Count</t>
        </is>
      </c>
      <c r="B7" s="11">
        <f>COUNTA(Classes!A2:A31)</f>
        <v/>
      </c>
      <c r="D7" s="6" t="inlineStr">
        <is>
          <t>Planned Class Count</t>
        </is>
      </c>
      <c r="E7" s="11">
        <f>COUNTA(Scenario!A2:A31)</f>
        <v/>
      </c>
    </row>
    <row r="10">
      <c r="A10" s="5" t="inlineStr">
        <is>
          <t>Grade Breakdown</t>
        </is>
      </c>
    </row>
    <row r="11">
      <c r="A11" s="6" t="inlineStr">
        <is>
          <t>A range</t>
        </is>
      </c>
      <c r="B11" s="6" t="inlineStr">
        <is>
          <t>B range</t>
        </is>
      </c>
      <c r="C11" s="6" t="inlineStr">
        <is>
          <t>C range</t>
        </is>
      </c>
      <c r="D11" s="6" t="inlineStr">
        <is>
          <t>D range</t>
        </is>
      </c>
      <c r="E11" s="6" t="inlineStr">
        <is>
          <t>F</t>
        </is>
      </c>
    </row>
    <row r="12">
      <c r="A12" s="6">
        <f>COUNTIF(Classes!E2:E31,"&gt;=90")</f>
        <v/>
      </c>
      <c r="B12" s="6">
        <f>COUNTIFS(Classes!E2:E31,"&gt;=80",Classes!E2:E31,"&lt;90")</f>
        <v/>
      </c>
      <c r="C12" s="6">
        <f>COUNTIFS(Classes!E2:E31,"&gt;=70",Classes!E2:E31,"&lt;80")</f>
        <v/>
      </c>
      <c r="D12" s="6">
        <f>COUNTIFS(Classes!E2:E31,"&gt;=60",Classes!E2:E31,"&lt;70")</f>
        <v/>
      </c>
      <c r="E12" s="6">
        <f>COUNTIF(Classes!E2:E31,"&lt;60")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0" customWidth="1" min="4" max="4"/>
    <col width="14" customWidth="1" min="5" max="5"/>
    <col width="12" customWidth="1" min="6" max="6"/>
    <col width="10" customWidth="1" min="7" max="7"/>
    <col width="13" customWidth="1" min="8" max="8"/>
    <col width="12" customWidth="1" min="9" max="9"/>
    <col width="14" customWidth="1" min="10" max="10"/>
    <col width="14" customWidth="1" min="11" max="11"/>
  </cols>
  <sheetData>
    <row r="1">
      <c r="A1" s="7" t="inlineStr">
        <is>
          <t>Course</t>
        </is>
      </c>
      <c r="B1" s="7" t="inlineStr">
        <is>
          <t>Term</t>
        </is>
      </c>
      <c r="C1" s="7" t="inlineStr">
        <is>
          <t>Level</t>
        </is>
      </c>
      <c r="D1" s="7" t="inlineStr">
        <is>
          <t>Credits</t>
        </is>
      </c>
      <c r="E1" s="7" t="inlineStr">
        <is>
          <t>Numeric Grade</t>
        </is>
      </c>
      <c r="F1" s="7" t="inlineStr">
        <is>
          <t>Letter Grade</t>
        </is>
      </c>
      <c r="G1" s="7" t="inlineStr">
        <is>
          <t>Base Pts</t>
        </is>
      </c>
      <c r="H1" s="7" t="inlineStr">
        <is>
          <t>Weight Bonus</t>
        </is>
      </c>
      <c r="I1" s="7" t="inlineStr">
        <is>
          <t>Weighted Pts</t>
        </is>
      </c>
      <c r="J1" s="7" t="inlineStr">
        <is>
          <t>Unweighted QP</t>
        </is>
      </c>
      <c r="K1" s="7" t="inlineStr">
        <is>
          <t>Weighted QP</t>
        </is>
      </c>
    </row>
    <row r="2">
      <c r="A2" s="6" t="n"/>
      <c r="B2" s="6" t="n"/>
      <c r="C2" s="6" t="n"/>
      <c r="D2" s="6" t="n">
        <v>1</v>
      </c>
      <c r="E2" s="6" t="n"/>
      <c r="F2" s="6">
        <f>IF(E2="","",LOOKUP(E2,GradeScale!$A$2:$A$14,GradeScale!$B$2:$B$14))</f>
        <v/>
      </c>
      <c r="G2" s="6">
        <f>IF(E2="","",LOOKUP(E2,GradeScale!$A$2:$A$14,GradeScale!$C$2:$C$14))</f>
        <v/>
      </c>
      <c r="H2" s="6">
        <f>IF(C2="","",IF(C2="Honors",0.5,IF(OR(C2="AP",C2="DE"),1,0)))</f>
        <v/>
      </c>
      <c r="I2" s="6">
        <f>IF(G2="","",G2+H2)</f>
        <v/>
      </c>
      <c r="J2" s="6">
        <f>IF(OR(G2="",D2=""),"",G2*D2)</f>
        <v/>
      </c>
      <c r="K2" s="6">
        <f>IF(OR(I2="",D2=""),"",I2*D2)</f>
        <v/>
      </c>
    </row>
    <row r="3">
      <c r="A3" s="6" t="n"/>
      <c r="B3" s="6" t="n"/>
      <c r="C3" s="6" t="n"/>
      <c r="D3" s="6" t="n">
        <v>1</v>
      </c>
      <c r="E3" s="6" t="n"/>
      <c r="F3" s="6">
        <f>IF(E3="","",LOOKUP(E3,GradeScale!$A$2:$A$14,GradeScale!$B$2:$B$14))</f>
        <v/>
      </c>
      <c r="G3" s="6">
        <f>IF(E3="","",LOOKUP(E3,GradeScale!$A$2:$A$14,GradeScale!$C$2:$C$14))</f>
        <v/>
      </c>
      <c r="H3" s="6">
        <f>IF(C3="","",IF(C3="Honors",0.5,IF(OR(C3="AP",C3="DE"),1,0)))</f>
        <v/>
      </c>
      <c r="I3" s="6">
        <f>IF(G3="","",G3+H3)</f>
        <v/>
      </c>
      <c r="J3" s="6">
        <f>IF(OR(G3="",D3=""),"",G3*D3)</f>
        <v/>
      </c>
      <c r="K3" s="6">
        <f>IF(OR(I3="",D3=""),"",I3*D3)</f>
        <v/>
      </c>
    </row>
    <row r="4">
      <c r="A4" s="6" t="n"/>
      <c r="B4" s="6" t="n"/>
      <c r="C4" s="6" t="n"/>
      <c r="D4" s="6" t="n">
        <v>1</v>
      </c>
      <c r="E4" s="6" t="n"/>
      <c r="F4" s="6">
        <f>IF(E4="","",LOOKUP(E4,GradeScale!$A$2:$A$14,GradeScale!$B$2:$B$14))</f>
        <v/>
      </c>
      <c r="G4" s="6">
        <f>IF(E4="","",LOOKUP(E4,GradeScale!$A$2:$A$14,GradeScale!$C$2:$C$14))</f>
        <v/>
      </c>
      <c r="H4" s="6">
        <f>IF(C4="","",IF(C4="Honors",0.5,IF(OR(C4="AP",C4="DE"),1,0)))</f>
        <v/>
      </c>
      <c r="I4" s="6">
        <f>IF(G4="","",G4+H4)</f>
        <v/>
      </c>
      <c r="J4" s="6">
        <f>IF(OR(G4="",D4=""),"",G4*D4)</f>
        <v/>
      </c>
      <c r="K4" s="6">
        <f>IF(OR(I4="",D4=""),"",I4*D4)</f>
        <v/>
      </c>
    </row>
    <row r="5">
      <c r="A5" s="6" t="n"/>
      <c r="B5" s="6" t="n"/>
      <c r="C5" s="6" t="n"/>
      <c r="D5" s="6" t="n">
        <v>1</v>
      </c>
      <c r="E5" s="6" t="n"/>
      <c r="F5" s="6">
        <f>IF(E5="","",LOOKUP(E5,GradeScale!$A$2:$A$14,GradeScale!$B$2:$B$14))</f>
        <v/>
      </c>
      <c r="G5" s="6">
        <f>IF(E5="","",LOOKUP(E5,GradeScale!$A$2:$A$14,GradeScale!$C$2:$C$14))</f>
        <v/>
      </c>
      <c r="H5" s="6">
        <f>IF(C5="","",IF(C5="Honors",0.5,IF(OR(C5="AP",C5="DE"),1,0)))</f>
        <v/>
      </c>
      <c r="I5" s="6">
        <f>IF(G5="","",G5+H5)</f>
        <v/>
      </c>
      <c r="J5" s="6">
        <f>IF(OR(G5="",D5=""),"",G5*D5)</f>
        <v/>
      </c>
      <c r="K5" s="6">
        <f>IF(OR(I5="",D5=""),"",I5*D5)</f>
        <v/>
      </c>
    </row>
    <row r="6">
      <c r="A6" s="6" t="n"/>
      <c r="B6" s="6" t="n"/>
      <c r="C6" s="6" t="n"/>
      <c r="D6" s="6" t="n">
        <v>1</v>
      </c>
      <c r="E6" s="6" t="n"/>
      <c r="F6" s="6">
        <f>IF(E6="","",LOOKUP(E6,GradeScale!$A$2:$A$14,GradeScale!$B$2:$B$14))</f>
        <v/>
      </c>
      <c r="G6" s="6">
        <f>IF(E6="","",LOOKUP(E6,GradeScale!$A$2:$A$14,GradeScale!$C$2:$C$14))</f>
        <v/>
      </c>
      <c r="H6" s="6">
        <f>IF(C6="","",IF(C6="Honors",0.5,IF(OR(C6="AP",C6="DE"),1,0)))</f>
        <v/>
      </c>
      <c r="I6" s="6">
        <f>IF(G6="","",G6+H6)</f>
        <v/>
      </c>
      <c r="J6" s="6">
        <f>IF(OR(G6="",D6=""),"",G6*D6)</f>
        <v/>
      </c>
      <c r="K6" s="6">
        <f>IF(OR(I6="",D6=""),"",I6*D6)</f>
        <v/>
      </c>
    </row>
    <row r="7">
      <c r="A7" s="6" t="n"/>
      <c r="B7" s="6" t="n"/>
      <c r="C7" s="6" t="n"/>
      <c r="D7" s="6" t="n">
        <v>1</v>
      </c>
      <c r="E7" s="6" t="n"/>
      <c r="F7" s="6">
        <f>IF(E7="","",LOOKUP(E7,GradeScale!$A$2:$A$14,GradeScale!$B$2:$B$14))</f>
        <v/>
      </c>
      <c r="G7" s="6">
        <f>IF(E7="","",LOOKUP(E7,GradeScale!$A$2:$A$14,GradeScale!$C$2:$C$14))</f>
        <v/>
      </c>
      <c r="H7" s="6">
        <f>IF(C7="","",IF(C7="Honors",0.5,IF(OR(C7="AP",C7="DE"),1,0)))</f>
        <v/>
      </c>
      <c r="I7" s="6">
        <f>IF(G7="","",G7+H7)</f>
        <v/>
      </c>
      <c r="J7" s="6">
        <f>IF(OR(G7="",D7=""),"",G7*D7)</f>
        <v/>
      </c>
      <c r="K7" s="6">
        <f>IF(OR(I7="",D7=""),"",I7*D7)</f>
        <v/>
      </c>
    </row>
    <row r="8">
      <c r="A8" s="6" t="n"/>
      <c r="B8" s="6" t="n"/>
      <c r="C8" s="6" t="n"/>
      <c r="D8" s="6" t="n">
        <v>1</v>
      </c>
      <c r="E8" s="6" t="n"/>
      <c r="F8" s="6">
        <f>IF(E8="","",LOOKUP(E8,GradeScale!$A$2:$A$14,GradeScale!$B$2:$B$14))</f>
        <v/>
      </c>
      <c r="G8" s="6">
        <f>IF(E8="","",LOOKUP(E8,GradeScale!$A$2:$A$14,GradeScale!$C$2:$C$14))</f>
        <v/>
      </c>
      <c r="H8" s="6">
        <f>IF(C8="","",IF(C8="Honors",0.5,IF(OR(C8="AP",C8="DE"),1,0)))</f>
        <v/>
      </c>
      <c r="I8" s="6">
        <f>IF(G8="","",G8+H8)</f>
        <v/>
      </c>
      <c r="J8" s="6">
        <f>IF(OR(G8="",D8=""),"",G8*D8)</f>
        <v/>
      </c>
      <c r="K8" s="6">
        <f>IF(OR(I8="",D8=""),"",I8*D8)</f>
        <v/>
      </c>
    </row>
    <row r="9">
      <c r="A9" s="6" t="n"/>
      <c r="B9" s="6" t="n"/>
      <c r="C9" s="6" t="n"/>
      <c r="D9" s="6" t="n">
        <v>1</v>
      </c>
      <c r="E9" s="6" t="n"/>
      <c r="F9" s="6">
        <f>IF(E9="","",LOOKUP(E9,GradeScale!$A$2:$A$14,GradeScale!$B$2:$B$14))</f>
        <v/>
      </c>
      <c r="G9" s="6">
        <f>IF(E9="","",LOOKUP(E9,GradeScale!$A$2:$A$14,GradeScale!$C$2:$C$14))</f>
        <v/>
      </c>
      <c r="H9" s="6">
        <f>IF(C9="","",IF(C9="Honors",0.5,IF(OR(C9="AP",C9="DE"),1,0)))</f>
        <v/>
      </c>
      <c r="I9" s="6">
        <f>IF(G9="","",G9+H9)</f>
        <v/>
      </c>
      <c r="J9" s="6">
        <f>IF(OR(G9="",D9=""),"",G9*D9)</f>
        <v/>
      </c>
      <c r="K9" s="6">
        <f>IF(OR(I9="",D9=""),"",I9*D9)</f>
        <v/>
      </c>
    </row>
    <row r="10">
      <c r="A10" s="6" t="n"/>
      <c r="B10" s="6" t="n"/>
      <c r="C10" s="6" t="n"/>
      <c r="D10" s="6" t="n">
        <v>1</v>
      </c>
      <c r="E10" s="6" t="n"/>
      <c r="F10" s="6">
        <f>IF(E10="","",LOOKUP(E10,GradeScale!$A$2:$A$14,GradeScale!$B$2:$B$14))</f>
        <v/>
      </c>
      <c r="G10" s="6">
        <f>IF(E10="","",LOOKUP(E10,GradeScale!$A$2:$A$14,GradeScale!$C$2:$C$14))</f>
        <v/>
      </c>
      <c r="H10" s="6">
        <f>IF(C10="","",IF(C10="Honors",0.5,IF(OR(C10="AP",C10="DE"),1,0)))</f>
        <v/>
      </c>
      <c r="I10" s="6">
        <f>IF(G10="","",G10+H10)</f>
        <v/>
      </c>
      <c r="J10" s="6">
        <f>IF(OR(G10="",D10=""),"",G10*D10)</f>
        <v/>
      </c>
      <c r="K10" s="6">
        <f>IF(OR(I10="",D10=""),"",I10*D10)</f>
        <v/>
      </c>
    </row>
    <row r="11">
      <c r="A11" s="6" t="n"/>
      <c r="B11" s="6" t="n"/>
      <c r="C11" s="6" t="n"/>
      <c r="D11" s="6" t="n">
        <v>1</v>
      </c>
      <c r="E11" s="6" t="n"/>
      <c r="F11" s="6">
        <f>IF(E11="","",LOOKUP(E11,GradeScale!$A$2:$A$14,GradeScale!$B$2:$B$14))</f>
        <v/>
      </c>
      <c r="G11" s="6">
        <f>IF(E11="","",LOOKUP(E11,GradeScale!$A$2:$A$14,GradeScale!$C$2:$C$14))</f>
        <v/>
      </c>
      <c r="H11" s="6">
        <f>IF(C11="","",IF(C11="Honors",0.5,IF(OR(C11="AP",C11="DE"),1,0)))</f>
        <v/>
      </c>
      <c r="I11" s="6">
        <f>IF(G11="","",G11+H11)</f>
        <v/>
      </c>
      <c r="J11" s="6">
        <f>IF(OR(G11="",D11=""),"",G11*D11)</f>
        <v/>
      </c>
      <c r="K11" s="6">
        <f>IF(OR(I11="",D11=""),"",I11*D11)</f>
        <v/>
      </c>
    </row>
    <row r="12">
      <c r="A12" s="6" t="n"/>
      <c r="B12" s="6" t="n"/>
      <c r="C12" s="6" t="n"/>
      <c r="D12" s="6" t="n">
        <v>1</v>
      </c>
      <c r="E12" s="6" t="n"/>
      <c r="F12" s="6">
        <f>IF(E12="","",LOOKUP(E12,GradeScale!$A$2:$A$14,GradeScale!$B$2:$B$14))</f>
        <v/>
      </c>
      <c r="G12" s="6">
        <f>IF(E12="","",LOOKUP(E12,GradeScale!$A$2:$A$14,GradeScale!$C$2:$C$14))</f>
        <v/>
      </c>
      <c r="H12" s="6">
        <f>IF(C12="","",IF(C12="Honors",0.5,IF(OR(C12="AP",C12="DE"),1,0)))</f>
        <v/>
      </c>
      <c r="I12" s="6">
        <f>IF(G12="","",G12+H12)</f>
        <v/>
      </c>
      <c r="J12" s="6">
        <f>IF(OR(G12="",D12=""),"",G12*D12)</f>
        <v/>
      </c>
      <c r="K12" s="6">
        <f>IF(OR(I12="",D12=""),"",I12*D12)</f>
        <v/>
      </c>
    </row>
    <row r="13">
      <c r="A13" s="6" t="n"/>
      <c r="B13" s="6" t="n"/>
      <c r="C13" s="6" t="n"/>
      <c r="D13" s="6" t="n">
        <v>1</v>
      </c>
      <c r="E13" s="6" t="n"/>
      <c r="F13" s="6">
        <f>IF(E13="","",LOOKUP(E13,GradeScale!$A$2:$A$14,GradeScale!$B$2:$B$14))</f>
        <v/>
      </c>
      <c r="G13" s="6">
        <f>IF(E13="","",LOOKUP(E13,GradeScale!$A$2:$A$14,GradeScale!$C$2:$C$14))</f>
        <v/>
      </c>
      <c r="H13" s="6">
        <f>IF(C13="","",IF(C13="Honors",0.5,IF(OR(C13="AP",C13="DE"),1,0)))</f>
        <v/>
      </c>
      <c r="I13" s="6">
        <f>IF(G13="","",G13+H13)</f>
        <v/>
      </c>
      <c r="J13" s="6">
        <f>IF(OR(G13="",D13=""),"",G13*D13)</f>
        <v/>
      </c>
      <c r="K13" s="6">
        <f>IF(OR(I13="",D13=""),"",I13*D13)</f>
        <v/>
      </c>
    </row>
    <row r="14">
      <c r="A14" s="6" t="n"/>
      <c r="B14" s="6" t="n"/>
      <c r="C14" s="6" t="n"/>
      <c r="D14" s="6" t="n">
        <v>1</v>
      </c>
      <c r="E14" s="6" t="n"/>
      <c r="F14" s="6">
        <f>IF(E14="","",LOOKUP(E14,GradeScale!$A$2:$A$14,GradeScale!$B$2:$B$14))</f>
        <v/>
      </c>
      <c r="G14" s="6">
        <f>IF(E14="","",LOOKUP(E14,GradeScale!$A$2:$A$14,GradeScale!$C$2:$C$14))</f>
        <v/>
      </c>
      <c r="H14" s="6">
        <f>IF(C14="","",IF(C14="Honors",0.5,IF(OR(C14="AP",C14="DE"),1,0)))</f>
        <v/>
      </c>
      <c r="I14" s="6">
        <f>IF(G14="","",G14+H14)</f>
        <v/>
      </c>
      <c r="J14" s="6">
        <f>IF(OR(G14="",D14=""),"",G14*D14)</f>
        <v/>
      </c>
      <c r="K14" s="6">
        <f>IF(OR(I14="",D14=""),"",I14*D14)</f>
        <v/>
      </c>
    </row>
    <row r="15">
      <c r="A15" s="6" t="n"/>
      <c r="B15" s="6" t="n"/>
      <c r="C15" s="6" t="n"/>
      <c r="D15" s="6" t="n">
        <v>1</v>
      </c>
      <c r="E15" s="6" t="n"/>
      <c r="F15" s="6">
        <f>IF(E15="","",LOOKUP(E15,GradeScale!$A$2:$A$14,GradeScale!$B$2:$B$14))</f>
        <v/>
      </c>
      <c r="G15" s="6">
        <f>IF(E15="","",LOOKUP(E15,GradeScale!$A$2:$A$14,GradeScale!$C$2:$C$14))</f>
        <v/>
      </c>
      <c r="H15" s="6">
        <f>IF(C15="","",IF(C15="Honors",0.5,IF(OR(C15="AP",C15="DE"),1,0)))</f>
        <v/>
      </c>
      <c r="I15" s="6">
        <f>IF(G15="","",G15+H15)</f>
        <v/>
      </c>
      <c r="J15" s="6">
        <f>IF(OR(G15="",D15=""),"",G15*D15)</f>
        <v/>
      </c>
      <c r="K15" s="6">
        <f>IF(OR(I15="",D15=""),"",I15*D15)</f>
        <v/>
      </c>
    </row>
    <row r="16">
      <c r="A16" s="6" t="n"/>
      <c r="B16" s="6" t="n"/>
      <c r="C16" s="6" t="n"/>
      <c r="D16" s="6" t="n">
        <v>1</v>
      </c>
      <c r="E16" s="6" t="n"/>
      <c r="F16" s="6">
        <f>IF(E16="","",LOOKUP(E16,GradeScale!$A$2:$A$14,GradeScale!$B$2:$B$14))</f>
        <v/>
      </c>
      <c r="G16" s="6">
        <f>IF(E16="","",LOOKUP(E16,GradeScale!$A$2:$A$14,GradeScale!$C$2:$C$14))</f>
        <v/>
      </c>
      <c r="H16" s="6">
        <f>IF(C16="","",IF(C16="Honors",0.5,IF(OR(C16="AP",C16="DE"),1,0)))</f>
        <v/>
      </c>
      <c r="I16" s="6">
        <f>IF(G16="","",G16+H16)</f>
        <v/>
      </c>
      <c r="J16" s="6">
        <f>IF(OR(G16="",D16=""),"",G16*D16)</f>
        <v/>
      </c>
      <c r="K16" s="6">
        <f>IF(OR(I16="",D16=""),"",I16*D16)</f>
        <v/>
      </c>
    </row>
    <row r="17">
      <c r="A17" s="6" t="n"/>
      <c r="B17" s="6" t="n"/>
      <c r="C17" s="6" t="n"/>
      <c r="D17" s="6" t="n">
        <v>1</v>
      </c>
      <c r="E17" s="6" t="n"/>
      <c r="F17" s="6">
        <f>IF(E17="","",LOOKUP(E17,GradeScale!$A$2:$A$14,GradeScale!$B$2:$B$14))</f>
        <v/>
      </c>
      <c r="G17" s="6">
        <f>IF(E17="","",LOOKUP(E17,GradeScale!$A$2:$A$14,GradeScale!$C$2:$C$14))</f>
        <v/>
      </c>
      <c r="H17" s="6">
        <f>IF(C17="","",IF(C17="Honors",0.5,IF(OR(C17="AP",C17="DE"),1,0)))</f>
        <v/>
      </c>
      <c r="I17" s="6">
        <f>IF(G17="","",G17+H17)</f>
        <v/>
      </c>
      <c r="J17" s="6">
        <f>IF(OR(G17="",D17=""),"",G17*D17)</f>
        <v/>
      </c>
      <c r="K17" s="6">
        <f>IF(OR(I17="",D17=""),"",I17*D17)</f>
        <v/>
      </c>
    </row>
    <row r="18">
      <c r="A18" s="6" t="n"/>
      <c r="B18" s="6" t="n"/>
      <c r="C18" s="6" t="n"/>
      <c r="D18" s="6" t="n">
        <v>1</v>
      </c>
      <c r="E18" s="6" t="n"/>
      <c r="F18" s="6">
        <f>IF(E18="","",LOOKUP(E18,GradeScale!$A$2:$A$14,GradeScale!$B$2:$B$14))</f>
        <v/>
      </c>
      <c r="G18" s="6">
        <f>IF(E18="","",LOOKUP(E18,GradeScale!$A$2:$A$14,GradeScale!$C$2:$C$14))</f>
        <v/>
      </c>
      <c r="H18" s="6">
        <f>IF(C18="","",IF(C18="Honors",0.5,IF(OR(C18="AP",C18="DE"),1,0)))</f>
        <v/>
      </c>
      <c r="I18" s="6">
        <f>IF(G18="","",G18+H18)</f>
        <v/>
      </c>
      <c r="J18" s="6">
        <f>IF(OR(G18="",D18=""),"",G18*D18)</f>
        <v/>
      </c>
      <c r="K18" s="6">
        <f>IF(OR(I18="",D18=""),"",I18*D18)</f>
        <v/>
      </c>
    </row>
    <row r="19">
      <c r="A19" s="6" t="n"/>
      <c r="B19" s="6" t="n"/>
      <c r="C19" s="6" t="n"/>
      <c r="D19" s="6" t="n">
        <v>1</v>
      </c>
      <c r="E19" s="6" t="n"/>
      <c r="F19" s="6">
        <f>IF(E19="","",LOOKUP(E19,GradeScale!$A$2:$A$14,GradeScale!$B$2:$B$14))</f>
        <v/>
      </c>
      <c r="G19" s="6">
        <f>IF(E19="","",LOOKUP(E19,GradeScale!$A$2:$A$14,GradeScale!$C$2:$C$14))</f>
        <v/>
      </c>
      <c r="H19" s="6">
        <f>IF(C19="","",IF(C19="Honors",0.5,IF(OR(C19="AP",C19="DE"),1,0)))</f>
        <v/>
      </c>
      <c r="I19" s="6">
        <f>IF(G19="","",G19+H19)</f>
        <v/>
      </c>
      <c r="J19" s="6">
        <f>IF(OR(G19="",D19=""),"",G19*D19)</f>
        <v/>
      </c>
      <c r="K19" s="6">
        <f>IF(OR(I19="",D19=""),"",I19*D19)</f>
        <v/>
      </c>
    </row>
    <row r="20">
      <c r="A20" s="6" t="n"/>
      <c r="B20" s="6" t="n"/>
      <c r="C20" s="6" t="n"/>
      <c r="D20" s="6" t="n">
        <v>1</v>
      </c>
      <c r="E20" s="6" t="n"/>
      <c r="F20" s="6">
        <f>IF(E20="","",LOOKUP(E20,GradeScale!$A$2:$A$14,GradeScale!$B$2:$B$14))</f>
        <v/>
      </c>
      <c r="G20" s="6">
        <f>IF(E20="","",LOOKUP(E20,GradeScale!$A$2:$A$14,GradeScale!$C$2:$C$14))</f>
        <v/>
      </c>
      <c r="H20" s="6">
        <f>IF(C20="","",IF(C20="Honors",0.5,IF(OR(C20="AP",C20="DE"),1,0)))</f>
        <v/>
      </c>
      <c r="I20" s="6">
        <f>IF(G20="","",G20+H20)</f>
        <v/>
      </c>
      <c r="J20" s="6">
        <f>IF(OR(G20="",D20=""),"",G20*D20)</f>
        <v/>
      </c>
      <c r="K20" s="6">
        <f>IF(OR(I20="",D20=""),"",I20*D20)</f>
        <v/>
      </c>
    </row>
    <row r="21">
      <c r="A21" s="6" t="n"/>
      <c r="B21" s="6" t="n"/>
      <c r="C21" s="6" t="n"/>
      <c r="D21" s="6" t="n">
        <v>1</v>
      </c>
      <c r="E21" s="6" t="n"/>
      <c r="F21" s="6">
        <f>IF(E21="","",LOOKUP(E21,GradeScale!$A$2:$A$14,GradeScale!$B$2:$B$14))</f>
        <v/>
      </c>
      <c r="G21" s="6">
        <f>IF(E21="","",LOOKUP(E21,GradeScale!$A$2:$A$14,GradeScale!$C$2:$C$14))</f>
        <v/>
      </c>
      <c r="H21" s="6">
        <f>IF(C21="","",IF(C21="Honors",0.5,IF(OR(C21="AP",C21="DE"),1,0)))</f>
        <v/>
      </c>
      <c r="I21" s="6">
        <f>IF(G21="","",G21+H21)</f>
        <v/>
      </c>
      <c r="J21" s="6">
        <f>IF(OR(G21="",D21=""),"",G21*D21)</f>
        <v/>
      </c>
      <c r="K21" s="6">
        <f>IF(OR(I21="",D21=""),"",I21*D21)</f>
        <v/>
      </c>
    </row>
    <row r="22">
      <c r="A22" s="6" t="n"/>
      <c r="B22" s="6" t="n"/>
      <c r="C22" s="6" t="n"/>
      <c r="D22" s="6" t="n">
        <v>1</v>
      </c>
      <c r="E22" s="6" t="n"/>
      <c r="F22" s="6">
        <f>IF(E22="","",LOOKUP(E22,GradeScale!$A$2:$A$14,GradeScale!$B$2:$B$14))</f>
        <v/>
      </c>
      <c r="G22" s="6">
        <f>IF(E22="","",LOOKUP(E22,GradeScale!$A$2:$A$14,GradeScale!$C$2:$C$14))</f>
        <v/>
      </c>
      <c r="H22" s="6">
        <f>IF(C22="","",IF(C22="Honors",0.5,IF(OR(C22="AP",C22="DE"),1,0)))</f>
        <v/>
      </c>
      <c r="I22" s="6">
        <f>IF(G22="","",G22+H22)</f>
        <v/>
      </c>
      <c r="J22" s="6">
        <f>IF(OR(G22="",D22=""),"",G22*D22)</f>
        <v/>
      </c>
      <c r="K22" s="6">
        <f>IF(OR(I22="",D22=""),"",I22*D22)</f>
        <v/>
      </c>
    </row>
    <row r="23">
      <c r="A23" s="6" t="n"/>
      <c r="B23" s="6" t="n"/>
      <c r="C23" s="6" t="n"/>
      <c r="D23" s="6" t="n">
        <v>1</v>
      </c>
      <c r="E23" s="6" t="n"/>
      <c r="F23" s="6">
        <f>IF(E23="","",LOOKUP(E23,GradeScale!$A$2:$A$14,GradeScale!$B$2:$B$14))</f>
        <v/>
      </c>
      <c r="G23" s="6">
        <f>IF(E23="","",LOOKUP(E23,GradeScale!$A$2:$A$14,GradeScale!$C$2:$C$14))</f>
        <v/>
      </c>
      <c r="H23" s="6">
        <f>IF(C23="","",IF(C23="Honors",0.5,IF(OR(C23="AP",C23="DE"),1,0)))</f>
        <v/>
      </c>
      <c r="I23" s="6">
        <f>IF(G23="","",G23+H23)</f>
        <v/>
      </c>
      <c r="J23" s="6">
        <f>IF(OR(G23="",D23=""),"",G23*D23)</f>
        <v/>
      </c>
      <c r="K23" s="6">
        <f>IF(OR(I23="",D23=""),"",I23*D23)</f>
        <v/>
      </c>
    </row>
    <row r="24">
      <c r="A24" s="6" t="n"/>
      <c r="B24" s="6" t="n"/>
      <c r="C24" s="6" t="n"/>
      <c r="D24" s="6" t="n">
        <v>1</v>
      </c>
      <c r="E24" s="6" t="n"/>
      <c r="F24" s="6">
        <f>IF(E24="","",LOOKUP(E24,GradeScale!$A$2:$A$14,GradeScale!$B$2:$B$14))</f>
        <v/>
      </c>
      <c r="G24" s="6">
        <f>IF(E24="","",LOOKUP(E24,GradeScale!$A$2:$A$14,GradeScale!$C$2:$C$14))</f>
        <v/>
      </c>
      <c r="H24" s="6">
        <f>IF(C24="","",IF(C24="Honors",0.5,IF(OR(C24="AP",C24="DE"),1,0)))</f>
        <v/>
      </c>
      <c r="I24" s="6">
        <f>IF(G24="","",G24+H24)</f>
        <v/>
      </c>
      <c r="J24" s="6">
        <f>IF(OR(G24="",D24=""),"",G24*D24)</f>
        <v/>
      </c>
      <c r="K24" s="6">
        <f>IF(OR(I24="",D24=""),"",I24*D24)</f>
        <v/>
      </c>
    </row>
    <row r="25">
      <c r="A25" s="6" t="n"/>
      <c r="B25" s="6" t="n"/>
      <c r="C25" s="6" t="n"/>
      <c r="D25" s="6" t="n">
        <v>1</v>
      </c>
      <c r="E25" s="6" t="n"/>
      <c r="F25" s="6">
        <f>IF(E25="","",LOOKUP(E25,GradeScale!$A$2:$A$14,GradeScale!$B$2:$B$14))</f>
        <v/>
      </c>
      <c r="G25" s="6">
        <f>IF(E25="","",LOOKUP(E25,GradeScale!$A$2:$A$14,GradeScale!$C$2:$C$14))</f>
        <v/>
      </c>
      <c r="H25" s="6">
        <f>IF(C25="","",IF(C25="Honors",0.5,IF(OR(C25="AP",C25="DE"),1,0)))</f>
        <v/>
      </c>
      <c r="I25" s="6">
        <f>IF(G25="","",G25+H25)</f>
        <v/>
      </c>
      <c r="J25" s="6">
        <f>IF(OR(G25="",D25=""),"",G25*D25)</f>
        <v/>
      </c>
      <c r="K25" s="6">
        <f>IF(OR(I25="",D25=""),"",I25*D25)</f>
        <v/>
      </c>
    </row>
    <row r="26">
      <c r="A26" s="6" t="n"/>
      <c r="B26" s="6" t="n"/>
      <c r="C26" s="6" t="n"/>
      <c r="D26" s="6" t="n">
        <v>1</v>
      </c>
      <c r="E26" s="6" t="n"/>
      <c r="F26" s="6">
        <f>IF(E26="","",LOOKUP(E26,GradeScale!$A$2:$A$14,GradeScale!$B$2:$B$14))</f>
        <v/>
      </c>
      <c r="G26" s="6">
        <f>IF(E26="","",LOOKUP(E26,GradeScale!$A$2:$A$14,GradeScale!$C$2:$C$14))</f>
        <v/>
      </c>
      <c r="H26" s="6">
        <f>IF(C26="","",IF(C26="Honors",0.5,IF(OR(C26="AP",C26="DE"),1,0)))</f>
        <v/>
      </c>
      <c r="I26" s="6">
        <f>IF(G26="","",G26+H26)</f>
        <v/>
      </c>
      <c r="J26" s="6">
        <f>IF(OR(G26="",D26=""),"",G26*D26)</f>
        <v/>
      </c>
      <c r="K26" s="6">
        <f>IF(OR(I26="",D26=""),"",I26*D26)</f>
        <v/>
      </c>
    </row>
    <row r="27">
      <c r="A27" s="6" t="n"/>
      <c r="B27" s="6" t="n"/>
      <c r="C27" s="6" t="n"/>
      <c r="D27" s="6" t="n">
        <v>1</v>
      </c>
      <c r="E27" s="6" t="n"/>
      <c r="F27" s="6">
        <f>IF(E27="","",LOOKUP(E27,GradeScale!$A$2:$A$14,GradeScale!$B$2:$B$14))</f>
        <v/>
      </c>
      <c r="G27" s="6">
        <f>IF(E27="","",LOOKUP(E27,GradeScale!$A$2:$A$14,GradeScale!$C$2:$C$14))</f>
        <v/>
      </c>
      <c r="H27" s="6">
        <f>IF(C27="","",IF(C27="Honors",0.5,IF(OR(C27="AP",C27="DE"),1,0)))</f>
        <v/>
      </c>
      <c r="I27" s="6">
        <f>IF(G27="","",G27+H27)</f>
        <v/>
      </c>
      <c r="J27" s="6">
        <f>IF(OR(G27="",D27=""),"",G27*D27)</f>
        <v/>
      </c>
      <c r="K27" s="6">
        <f>IF(OR(I27="",D27=""),"",I27*D27)</f>
        <v/>
      </c>
    </row>
    <row r="28">
      <c r="A28" s="6" t="n"/>
      <c r="B28" s="6" t="n"/>
      <c r="C28" s="6" t="n"/>
      <c r="D28" s="6" t="n">
        <v>1</v>
      </c>
      <c r="E28" s="6" t="n"/>
      <c r="F28" s="6">
        <f>IF(E28="","",LOOKUP(E28,GradeScale!$A$2:$A$14,GradeScale!$B$2:$B$14))</f>
        <v/>
      </c>
      <c r="G28" s="6">
        <f>IF(E28="","",LOOKUP(E28,GradeScale!$A$2:$A$14,GradeScale!$C$2:$C$14))</f>
        <v/>
      </c>
      <c r="H28" s="6">
        <f>IF(C28="","",IF(C28="Honors",0.5,IF(OR(C28="AP",C28="DE"),1,0)))</f>
        <v/>
      </c>
      <c r="I28" s="6">
        <f>IF(G28="","",G28+H28)</f>
        <v/>
      </c>
      <c r="J28" s="6">
        <f>IF(OR(G28="",D28=""),"",G28*D28)</f>
        <v/>
      </c>
      <c r="K28" s="6">
        <f>IF(OR(I28="",D28=""),"",I28*D28)</f>
        <v/>
      </c>
    </row>
    <row r="29">
      <c r="A29" s="6" t="n"/>
      <c r="B29" s="6" t="n"/>
      <c r="C29" s="6" t="n"/>
      <c r="D29" s="6" t="n">
        <v>1</v>
      </c>
      <c r="E29" s="6" t="n"/>
      <c r="F29" s="6">
        <f>IF(E29="","",LOOKUP(E29,GradeScale!$A$2:$A$14,GradeScale!$B$2:$B$14))</f>
        <v/>
      </c>
      <c r="G29" s="6">
        <f>IF(E29="","",LOOKUP(E29,GradeScale!$A$2:$A$14,GradeScale!$C$2:$C$14))</f>
        <v/>
      </c>
      <c r="H29" s="6">
        <f>IF(C29="","",IF(C29="Honors",0.5,IF(OR(C29="AP",C29="DE"),1,0)))</f>
        <v/>
      </c>
      <c r="I29" s="6">
        <f>IF(G29="","",G29+H29)</f>
        <v/>
      </c>
      <c r="J29" s="6">
        <f>IF(OR(G29="",D29=""),"",G29*D29)</f>
        <v/>
      </c>
      <c r="K29" s="6">
        <f>IF(OR(I29="",D29=""),"",I29*D29)</f>
        <v/>
      </c>
    </row>
    <row r="30">
      <c r="A30" s="6" t="n"/>
      <c r="B30" s="6" t="n"/>
      <c r="C30" s="6" t="n"/>
      <c r="D30" s="6" t="n">
        <v>1</v>
      </c>
      <c r="E30" s="6" t="n"/>
      <c r="F30" s="6">
        <f>IF(E30="","",LOOKUP(E30,GradeScale!$A$2:$A$14,GradeScale!$B$2:$B$14))</f>
        <v/>
      </c>
      <c r="G30" s="6">
        <f>IF(E30="","",LOOKUP(E30,GradeScale!$A$2:$A$14,GradeScale!$C$2:$C$14))</f>
        <v/>
      </c>
      <c r="H30" s="6">
        <f>IF(C30="","",IF(C30="Honors",0.5,IF(OR(C30="AP",C30="DE"),1,0)))</f>
        <v/>
      </c>
      <c r="I30" s="6">
        <f>IF(G30="","",G30+H30)</f>
        <v/>
      </c>
      <c r="J30" s="6">
        <f>IF(OR(G30="",D30=""),"",G30*D30)</f>
        <v/>
      </c>
      <c r="K30" s="6">
        <f>IF(OR(I30="",D30=""),"",I30*D30)</f>
        <v/>
      </c>
    </row>
    <row r="31">
      <c r="A31" s="6" t="n"/>
      <c r="B31" s="6" t="n"/>
      <c r="C31" s="6" t="n"/>
      <c r="D31" s="6" t="n">
        <v>1</v>
      </c>
      <c r="E31" s="6" t="n"/>
      <c r="F31" s="6">
        <f>IF(E31="","",LOOKUP(E31,GradeScale!$A$2:$A$14,GradeScale!$B$2:$B$14))</f>
        <v/>
      </c>
      <c r="G31" s="6">
        <f>IF(E31="","",LOOKUP(E31,GradeScale!$A$2:$A$14,GradeScale!$C$2:$C$14))</f>
        <v/>
      </c>
      <c r="H31" s="6">
        <f>IF(C31="","",IF(C31="Honors",0.5,IF(OR(C31="AP",C31="DE"),1,0)))</f>
        <v/>
      </c>
      <c r="I31" s="6">
        <f>IF(G31="","",G31+H31)</f>
        <v/>
      </c>
      <c r="J31" s="6">
        <f>IF(OR(G31="",D31=""),"",G31*D31)</f>
        <v/>
      </c>
      <c r="K31" s="6">
        <f>IF(OR(I31="",D31=""),"",I31*D31)</f>
        <v/>
      </c>
    </row>
  </sheetData>
  <conditionalFormatting sqref="E2:E31">
    <cfRule type="colorScale" priority="1">
      <colorScale>
        <cfvo type="num" val="60"/>
        <cfvo type="num" val="80"/>
        <cfvo type="num" val="100"/>
        <color rgb="00F87171"/>
        <color rgb="00FACC15"/>
        <color rgb="004ADE80"/>
      </colorScale>
    </cfRule>
  </conditionalFormatting>
  <dataValidations count="2">
    <dataValidation sqref="C2:C31" showDropDown="0" showInputMessage="0" showErrorMessage="0" allowBlank="1" type="list">
      <formula1>"Standard,Honors,AP,DE"</formula1>
    </dataValidation>
    <dataValidation sqref="B2:B31" showDropDown="0" showInputMessage="0" showErrorMessage="0" allowBlank="1" type="list">
      <formula1>"Semester 1,Semester 2,Full Year,Summer,Planned"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7" t="inlineStr">
        <is>
          <t>Min %</t>
        </is>
      </c>
      <c r="B1" s="7" t="inlineStr">
        <is>
          <t>Letter</t>
        </is>
      </c>
      <c r="C1" s="7" t="inlineStr">
        <is>
          <t>Base Points</t>
        </is>
      </c>
    </row>
    <row r="2">
      <c r="A2" s="6" t="n">
        <v>97</v>
      </c>
      <c r="B2" s="6" t="inlineStr">
        <is>
          <t>A+</t>
        </is>
      </c>
      <c r="C2" s="6" t="n">
        <v>4.3</v>
      </c>
    </row>
    <row r="3">
      <c r="A3" s="6" t="n">
        <v>93</v>
      </c>
      <c r="B3" s="6" t="inlineStr">
        <is>
          <t>A</t>
        </is>
      </c>
      <c r="C3" s="6" t="n">
        <v>4</v>
      </c>
    </row>
    <row r="4">
      <c r="A4" s="6" t="n">
        <v>90</v>
      </c>
      <c r="B4" s="6" t="inlineStr">
        <is>
          <t>A-</t>
        </is>
      </c>
      <c r="C4" s="6" t="n">
        <v>3.7</v>
      </c>
    </row>
    <row r="5">
      <c r="A5" s="6" t="n">
        <v>87</v>
      </c>
      <c r="B5" s="6" t="inlineStr">
        <is>
          <t>B+</t>
        </is>
      </c>
      <c r="C5" s="6" t="n">
        <v>3.3</v>
      </c>
    </row>
    <row r="6">
      <c r="A6" s="6" t="n">
        <v>83</v>
      </c>
      <c r="B6" s="6" t="inlineStr">
        <is>
          <t>B</t>
        </is>
      </c>
      <c r="C6" s="6" t="n">
        <v>3</v>
      </c>
    </row>
    <row r="7">
      <c r="A7" s="6" t="n">
        <v>80</v>
      </c>
      <c r="B7" s="6" t="inlineStr">
        <is>
          <t>B-</t>
        </is>
      </c>
      <c r="C7" s="6" t="n">
        <v>2.7</v>
      </c>
    </row>
    <row r="8">
      <c r="A8" s="6" t="n">
        <v>77</v>
      </c>
      <c r="B8" s="6" t="inlineStr">
        <is>
          <t>C+</t>
        </is>
      </c>
      <c r="C8" s="6" t="n">
        <v>2.3</v>
      </c>
    </row>
    <row r="9">
      <c r="A9" s="6" t="n">
        <v>73</v>
      </c>
      <c r="B9" s="6" t="inlineStr">
        <is>
          <t>C</t>
        </is>
      </c>
      <c r="C9" s="6" t="n">
        <v>2</v>
      </c>
    </row>
    <row r="10">
      <c r="A10" s="6" t="n">
        <v>70</v>
      </c>
      <c r="B10" s="6" t="inlineStr">
        <is>
          <t>C-</t>
        </is>
      </c>
      <c r="C10" s="6" t="n">
        <v>1.7</v>
      </c>
    </row>
    <row r="11">
      <c r="A11" s="6" t="n">
        <v>67</v>
      </c>
      <c r="B11" s="6" t="inlineStr">
        <is>
          <t>D+</t>
        </is>
      </c>
      <c r="C11" s="6" t="n">
        <v>1.3</v>
      </c>
    </row>
    <row r="12">
      <c r="A12" s="6" t="n">
        <v>63</v>
      </c>
      <c r="B12" s="6" t="inlineStr">
        <is>
          <t>D</t>
        </is>
      </c>
      <c r="C12" s="6" t="n">
        <v>1</v>
      </c>
    </row>
    <row r="13">
      <c r="A13" s="6" t="n">
        <v>60</v>
      </c>
      <c r="B13" s="6" t="inlineStr">
        <is>
          <t>D-</t>
        </is>
      </c>
      <c r="C13" s="6" t="n">
        <v>0.7</v>
      </c>
    </row>
    <row r="14">
      <c r="A14" s="6" t="n">
        <v>0</v>
      </c>
      <c r="B14" s="6" t="inlineStr">
        <is>
          <t>F</t>
        </is>
      </c>
      <c r="C14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2026-04-27T02:00:42Z</dcterms:created>
  <dcterms:modified xsi:type="dcterms:W3CDTF">2026-04-27T02:00:42Z</dcterms:modified>
</cp:coreProperties>
</file>